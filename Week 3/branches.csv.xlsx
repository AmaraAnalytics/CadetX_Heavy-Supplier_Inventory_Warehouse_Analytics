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MS EXCEL\CadetX\"/>
    </mc:Choice>
  </mc:AlternateContent>
  <xr:revisionPtr revIDLastSave="0" documentId="13_ncr:1_{122268DF-86AF-4057-B967-1CE42E3242FF}" xr6:coauthVersionLast="47" xr6:coauthVersionMax="47" xr10:uidLastSave="{00000000-0000-0000-0000-000000000000}"/>
  <bookViews>
    <workbookView xWindow="-120" yWindow="-120" windowWidth="20730" windowHeight="11040" xr2:uid="{01B77607-F4A0-441D-BA6F-B1FB86F37A2A}"/>
  </bookViews>
  <sheets>
    <sheet name="branches" sheetId="1" r:id="rId1"/>
    <sheet name="cleaned" sheetId="3" r:id="rId2"/>
    <sheet name="Cleaning_Lo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</calcChain>
</file>

<file path=xl/sharedStrings.xml><?xml version="1.0" encoding="utf-8"?>
<sst xmlns="http://schemas.openxmlformats.org/spreadsheetml/2006/main" count="173" uniqueCount="73">
  <si>
    <t>branch_id</t>
  </si>
  <si>
    <t>branch_name</t>
  </si>
  <si>
    <t>city</t>
  </si>
  <si>
    <t>state</t>
  </si>
  <si>
    <t>region</t>
  </si>
  <si>
    <t>warehouse_type</t>
  </si>
  <si>
    <t>warehouse_capacity</t>
  </si>
  <si>
    <t>service_center_available</t>
  </si>
  <si>
    <t>manager_id</t>
  </si>
  <si>
    <t>total_employees</t>
  </si>
  <si>
    <t>avg_monthly_revenue</t>
  </si>
  <si>
    <t>monthly_operational_cost</t>
  </si>
  <si>
    <t>market_demand_index</t>
  </si>
  <si>
    <t>DEL001</t>
  </si>
  <si>
    <t>Delhi Central</t>
  </si>
  <si>
    <t>Delhi</t>
  </si>
  <si>
    <t>North</t>
  </si>
  <si>
    <t>Central</t>
  </si>
  <si>
    <t>45230 sqft</t>
  </si>
  <si>
    <t>Yes</t>
  </si>
  <si>
    <t>PUN001</t>
  </si>
  <si>
    <t>Pune Distribution</t>
  </si>
  <si>
    <t>Pune</t>
  </si>
  <si>
    <t>Maharashtra</t>
  </si>
  <si>
    <t>West</t>
  </si>
  <si>
    <t>Regional</t>
  </si>
  <si>
    <t>38750 sqft</t>
  </si>
  <si>
    <t>CHN001</t>
  </si>
  <si>
    <t>Chennai South Hub</t>
  </si>
  <si>
    <t>Chennai</t>
  </si>
  <si>
    <t>Tamil Nadu</t>
  </si>
  <si>
    <t>South</t>
  </si>
  <si>
    <t>41890 sqft</t>
  </si>
  <si>
    <t>HYD001</t>
  </si>
  <si>
    <t>Hyderabad Logistics</t>
  </si>
  <si>
    <t>Hyderabad</t>
  </si>
  <si>
    <t>Telangana</t>
  </si>
  <si>
    <t>Branch</t>
  </si>
  <si>
    <t>36210 sqft</t>
  </si>
  <si>
    <t>No</t>
  </si>
  <si>
    <t>KOL001</t>
  </si>
  <si>
    <t>Kolkata East Depot</t>
  </si>
  <si>
    <t>Kolkata</t>
  </si>
  <si>
    <t>West Bengal</t>
  </si>
  <si>
    <t>East</t>
  </si>
  <si>
    <t>29880 sqft</t>
  </si>
  <si>
    <t>AHM001</t>
  </si>
  <si>
    <t>Ahmedabad West Hub</t>
  </si>
  <si>
    <t>Ahmedabad</t>
  </si>
  <si>
    <t>Gujarat</t>
  </si>
  <si>
    <t>Service Hub</t>
  </si>
  <si>
    <t>34120 sqft</t>
  </si>
  <si>
    <t>COLUMN</t>
  </si>
  <si>
    <t>ACTION TAKEN</t>
  </si>
  <si>
    <t>ISSUE FOUND</t>
  </si>
  <si>
    <t>RESULT</t>
  </si>
  <si>
    <t>Wrong data type, leading spaces</t>
  </si>
  <si>
    <t>Changed the data type to text, removed the leading spaces using the TRIM function.</t>
  </si>
  <si>
    <t xml:space="preserve">Wrong data type, leading spaces </t>
  </si>
  <si>
    <t>warehouse_capacity_sqft</t>
  </si>
  <si>
    <t>New column "warehouse_capacity_sqft" created with clean numeric values.</t>
  </si>
  <si>
    <t>Wrong data type, number and unit combined in one space</t>
  </si>
  <si>
    <t>I extracted the number "45230"  from the text "sqft", so as to be able to convert the column to number for easy/potential calculations. I made use of the function "=VALUE(LEFT(G2, FIND(" ", G2) -1)).</t>
  </si>
  <si>
    <t>Removed the leading spaces using the TRIM function, changed the data type to text</t>
  </si>
  <si>
    <t>Wrong data type</t>
  </si>
  <si>
    <t>9593</t>
  </si>
  <si>
    <t>6114</t>
  </si>
  <si>
    <t>7922</t>
  </si>
  <si>
    <t>4390</t>
  </si>
  <si>
    <t>5981</t>
  </si>
  <si>
    <t>4772</t>
  </si>
  <si>
    <t>Wrong data type, leading space</t>
  </si>
  <si>
    <t>Changed the data type to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</si>
</sst>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£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2" formatCode="0.00"/>
    </dxf>
    <dxf>
      <numFmt numFmtId="164" formatCode="&quot;£&quot;#,##0.00"/>
    </dxf>
    <dxf>
      <numFmt numFmtId="164" formatCode="&quot;£&quot;#,##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BD9D4-D435-41C5-BFE7-EED3E63D2802}" name="Table1" displayName="Table1" ref="A1:M7" totalsRowShown="0">
  <autoFilter ref="A1:M7" xr:uid="{4F6BD9D4-D435-41C5-BFE7-EED3E63D2802}"/>
  <tableColumns count="13">
    <tableColumn id="1" xr3:uid="{42B69D51-6080-44F6-84D1-5AF2845C7E61}" name="branch_id" dataDxfId="26"/>
    <tableColumn id="2" xr3:uid="{67DFBBDF-21C4-45D0-9CAA-381B90493AA8}" name="branch_name" dataDxfId="25"/>
    <tableColumn id="3" xr3:uid="{CE97BDC2-10A2-44FE-9F29-BA6DD7706519}" name="city" dataDxfId="24"/>
    <tableColumn id="4" xr3:uid="{E7CE017A-8EDB-4A4D-9208-8821FC3C7854}" name="state" dataDxfId="23"/>
    <tableColumn id="5" xr3:uid="{04CC5E95-65A8-4B40-91ED-D10DC4A96EC0}" name="region" dataDxfId="22"/>
    <tableColumn id="6" xr3:uid="{11C49C36-CE8D-4A5C-8643-3FB455042CFF}" name="warehouse_type" dataDxfId="21"/>
    <tableColumn id="7" xr3:uid="{FB67FF60-7AFB-4FF6-8047-138C997FDADD}" name="warehouse_capacity" dataDxfId="20"/>
    <tableColumn id="8" xr3:uid="{85D7628F-49D1-4D3F-B899-D7444384AB4B}" name="service_center_available" dataDxfId="19"/>
    <tableColumn id="9" xr3:uid="{6AC70505-93AF-4814-99C3-09BD1C8383B6}" name="manager_id" dataDxfId="18"/>
    <tableColumn id="10" xr3:uid="{70C267F2-C63B-46E1-9FC8-AB92971577AB}" name="total_employees" dataDxfId="17"/>
    <tableColumn id="11" xr3:uid="{B2B110C8-2875-4908-9A2F-37741880E13C}" name="avg_monthly_revenue" dataDxfId="16"/>
    <tableColumn id="12" xr3:uid="{45F679E4-87A7-4702-816F-C17910A75AB5}" name="monthly_operational_cost" dataDxfId="15"/>
    <tableColumn id="13" xr3:uid="{F7593647-AA5A-4DEF-8E3E-4BE1BD75C5CB}" name="market_demand_index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85BA32-300F-4C61-AF0F-FDE50674B6E7}" name="Table13" displayName="Table13" ref="A1:N7" totalsRowShown="0" headerRowDxfId="13" dataDxfId="12">
  <autoFilter ref="A1:N7" xr:uid="{4F6BD9D4-D435-41C5-BFE7-EED3E63D2802}"/>
  <tableColumns count="14">
    <tableColumn id="1" xr3:uid="{7F6B96C7-87A3-402D-A47E-85805AB8BF7E}" name="branch_id" dataDxfId="11"/>
    <tableColumn id="2" xr3:uid="{E53AE81E-C84D-43C7-8A75-4CE2EF1C8E5C}" name="branch_name" dataDxfId="10"/>
    <tableColumn id="3" xr3:uid="{A19C1B8E-8709-4B66-8934-3696129BDB3B}" name="city" dataDxfId="9"/>
    <tableColumn id="4" xr3:uid="{EF223F12-80CA-4747-8804-FD74C1D19AEB}" name="state" dataDxfId="8"/>
    <tableColumn id="5" xr3:uid="{666D7F35-2709-427C-9737-5538DEA7D491}" name="region" dataDxfId="7"/>
    <tableColumn id="6" xr3:uid="{8D3D2F71-7F26-4021-8CE1-88BB6538233B}" name="warehouse_type" dataDxfId="6"/>
    <tableColumn id="7" xr3:uid="{2CCA41E6-6725-4236-896B-F5E4702C1E61}" name="warehouse_capacity" dataDxfId="5"/>
    <tableColumn id="15" xr3:uid="{1691C810-F719-4BF3-9B5D-82D92323BAF9}" name="warehouse_capacity_sqft" dataDxfId="4">
      <calculatedColumnFormula>VALUE(LEFT(G2, FIND(" ", G2)-1))</calculatedColumnFormula>
    </tableColumn>
    <tableColumn id="8" xr3:uid="{200DF3F1-3825-4D28-8823-283171BB4ECE}" name="service_center_available" dataDxfId="3"/>
    <tableColumn id="9" xr3:uid="{D54942BF-D527-4ACC-BEF5-B296C53234B7}" name="manager_id" dataDxfId="2"/>
    <tableColumn id="10" xr3:uid="{170B5E38-F79A-488F-B6FF-069E4F4FD9A5}" name="total_employees" dataDxfId="1"/>
    <tableColumn id="11" xr3:uid="{6AF6172F-DEBC-4F6E-8633-461CCCF3BDAD}" name="avg_monthly_revenue" dataCellStyle="Comma"/>
    <tableColumn id="12" xr3:uid="{DA051BC7-0DFE-443A-8E7F-7555F624652D}" name="monthly_operational_cost" dataCellStyle="Comma"/>
    <tableColumn id="13" xr3:uid="{9659438E-9845-4CAC-9A55-66FBD1A31466}" name="market_demand_ind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F50A-B142-41C3-85A4-B65B462BFA38}">
  <dimension ref="A1:M14"/>
  <sheetViews>
    <sheetView tabSelected="1" topLeftCell="E1" workbookViewId="0">
      <selection activeCell="L15" sqref="L15"/>
    </sheetView>
  </sheetViews>
  <sheetFormatPr defaultRowHeight="15" x14ac:dyDescent="0.25"/>
  <cols>
    <col min="1" max="1" width="11.85546875" style="1" customWidth="1"/>
    <col min="2" max="2" width="21" style="1" bestFit="1" customWidth="1"/>
    <col min="3" max="3" width="11.7109375" style="1" bestFit="1" customWidth="1"/>
    <col min="4" max="4" width="12" style="1" bestFit="1" customWidth="1"/>
    <col min="5" max="5" width="8.85546875" style="1" customWidth="1"/>
    <col min="6" max="6" width="18" style="1" customWidth="1"/>
    <col min="7" max="7" width="21.140625" style="1" customWidth="1"/>
    <col min="8" max="8" width="25.140625" style="1" customWidth="1"/>
    <col min="9" max="9" width="13.5703125" style="1" customWidth="1"/>
    <col min="10" max="10" width="18.140625" style="2" customWidth="1"/>
    <col min="11" max="11" width="23" style="3" customWidth="1"/>
    <col min="12" max="12" width="26.42578125" style="3" customWidth="1"/>
    <col min="13" max="13" width="23.7109375" style="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9593</v>
      </c>
      <c r="J2" s="2">
        <v>92</v>
      </c>
      <c r="K2" s="3">
        <v>5234890</v>
      </c>
      <c r="L2" s="3">
        <v>3189000</v>
      </c>
      <c r="M2" s="2">
        <v>9</v>
      </c>
    </row>
    <row r="3" spans="1:13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19</v>
      </c>
      <c r="I3" s="1">
        <v>6114</v>
      </c>
      <c r="J3" s="2">
        <v>74</v>
      </c>
      <c r="K3" s="3">
        <v>4389120</v>
      </c>
      <c r="L3" s="3">
        <v>2654000</v>
      </c>
      <c r="M3" s="2">
        <v>8</v>
      </c>
    </row>
    <row r="4" spans="1:13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25</v>
      </c>
      <c r="G4" s="1" t="s">
        <v>32</v>
      </c>
      <c r="H4" s="1" t="s">
        <v>19</v>
      </c>
      <c r="I4" s="1">
        <v>7922</v>
      </c>
      <c r="J4" s="2">
        <v>81</v>
      </c>
      <c r="K4" s="3">
        <v>4567780</v>
      </c>
      <c r="L4" s="3">
        <v>2739000</v>
      </c>
      <c r="M4" s="2">
        <v>8</v>
      </c>
    </row>
    <row r="5" spans="1:13" x14ac:dyDescent="0.25">
      <c r="A5" s="1" t="s">
        <v>33</v>
      </c>
      <c r="B5" s="1" t="s">
        <v>34</v>
      </c>
      <c r="C5" s="1" t="s">
        <v>35</v>
      </c>
      <c r="D5" s="1" t="s">
        <v>36</v>
      </c>
      <c r="E5" s="1" t="s">
        <v>31</v>
      </c>
      <c r="F5" s="1" t="s">
        <v>37</v>
      </c>
      <c r="G5" s="1" t="s">
        <v>38</v>
      </c>
      <c r="H5" s="1" t="s">
        <v>39</v>
      </c>
      <c r="I5" s="1">
        <v>4390</v>
      </c>
      <c r="J5" s="2">
        <v>57</v>
      </c>
      <c r="K5" s="3">
        <v>3102455</v>
      </c>
      <c r="L5" s="3">
        <v>1887000</v>
      </c>
      <c r="M5" s="2">
        <v>7</v>
      </c>
    </row>
    <row r="6" spans="1:13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37</v>
      </c>
      <c r="G6" s="1" t="s">
        <v>45</v>
      </c>
      <c r="H6" s="1" t="s">
        <v>39</v>
      </c>
      <c r="I6" s="1">
        <v>5981</v>
      </c>
      <c r="J6" s="2">
        <v>49</v>
      </c>
      <c r="K6" s="3">
        <v>2894770</v>
      </c>
      <c r="L6" s="3">
        <v>1743000</v>
      </c>
      <c r="M6" s="2">
        <v>6</v>
      </c>
    </row>
    <row r="7" spans="1:13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24</v>
      </c>
      <c r="F7" s="1" t="s">
        <v>50</v>
      </c>
      <c r="G7" s="1" t="s">
        <v>51</v>
      </c>
      <c r="H7" s="1" t="s">
        <v>19</v>
      </c>
      <c r="I7" s="1">
        <v>4772</v>
      </c>
      <c r="J7" s="2">
        <v>63</v>
      </c>
      <c r="K7" s="3">
        <v>3245890</v>
      </c>
      <c r="L7" s="3">
        <v>2018000</v>
      </c>
      <c r="M7" s="2">
        <v>7</v>
      </c>
    </row>
    <row r="12" spans="1:13" x14ac:dyDescent="0.25">
      <c r="J12"/>
    </row>
    <row r="14" spans="1:13" x14ac:dyDescent="0.25">
      <c r="E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F952-A14E-4C55-AE57-0A17518FAFA3}">
  <dimension ref="A1:N7"/>
  <sheetViews>
    <sheetView topLeftCell="G1" workbookViewId="0">
      <selection activeCell="H14" sqref="H14"/>
    </sheetView>
  </sheetViews>
  <sheetFormatPr defaultRowHeight="15" x14ac:dyDescent="0.25"/>
  <cols>
    <col min="1" max="1" width="11.85546875" customWidth="1"/>
    <col min="2" max="2" width="21" bestFit="1" customWidth="1"/>
    <col min="3" max="3" width="11.7109375" bestFit="1" customWidth="1"/>
    <col min="4" max="4" width="12" bestFit="1" customWidth="1"/>
    <col min="5" max="5" width="8.85546875" customWidth="1"/>
    <col min="6" max="6" width="18" customWidth="1"/>
    <col min="7" max="7" width="21.140625" customWidth="1"/>
    <col min="8" max="8" width="26.140625" bestFit="1" customWidth="1"/>
    <col min="9" max="9" width="25.140625" customWidth="1"/>
    <col min="10" max="10" width="13.5703125" customWidth="1"/>
    <col min="11" max="11" width="18.140625" customWidth="1"/>
    <col min="12" max="12" width="23" customWidth="1"/>
    <col min="13" max="13" width="26.42578125" customWidth="1"/>
    <col min="14" max="14" width="23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59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1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f>VALUE(LEFT(G2, FIND(" ", G2)-1))</f>
        <v>45230</v>
      </c>
      <c r="I2" s="1" t="s">
        <v>19</v>
      </c>
      <c r="J2" s="1" t="s">
        <v>65</v>
      </c>
      <c r="K2" s="2">
        <v>92</v>
      </c>
      <c r="L2" s="5">
        <v>5234890</v>
      </c>
      <c r="M2" s="5">
        <v>3189000</v>
      </c>
      <c r="N2" s="2">
        <v>9</v>
      </c>
    </row>
    <row r="3" spans="1:14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2">
        <f t="shared" ref="H3:H7" si="0">VALUE(LEFT(G3, FIND(" ", G3)-1))</f>
        <v>38750</v>
      </c>
      <c r="I3" s="1" t="s">
        <v>19</v>
      </c>
      <c r="J3" s="1" t="s">
        <v>66</v>
      </c>
      <c r="K3" s="2">
        <v>74</v>
      </c>
      <c r="L3" s="5">
        <v>4389120</v>
      </c>
      <c r="M3" s="5">
        <v>2654000</v>
      </c>
      <c r="N3" s="2">
        <v>8</v>
      </c>
    </row>
    <row r="4" spans="1:14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25</v>
      </c>
      <c r="G4" s="1" t="s">
        <v>32</v>
      </c>
      <c r="H4" s="2">
        <f t="shared" si="0"/>
        <v>41890</v>
      </c>
      <c r="I4" s="1" t="s">
        <v>19</v>
      </c>
      <c r="J4" s="1" t="s">
        <v>67</v>
      </c>
      <c r="K4" s="2">
        <v>81</v>
      </c>
      <c r="L4" s="5">
        <v>4567780</v>
      </c>
      <c r="M4" s="5">
        <v>2739000</v>
      </c>
      <c r="N4" s="2">
        <v>8</v>
      </c>
    </row>
    <row r="5" spans="1:14" x14ac:dyDescent="0.25">
      <c r="A5" s="1" t="s">
        <v>33</v>
      </c>
      <c r="B5" s="1" t="s">
        <v>34</v>
      </c>
      <c r="C5" s="1" t="s">
        <v>35</v>
      </c>
      <c r="D5" s="1" t="s">
        <v>36</v>
      </c>
      <c r="E5" s="1" t="s">
        <v>31</v>
      </c>
      <c r="F5" s="1" t="s">
        <v>37</v>
      </c>
      <c r="G5" s="1" t="s">
        <v>38</v>
      </c>
      <c r="H5" s="2">
        <f t="shared" si="0"/>
        <v>36210</v>
      </c>
      <c r="I5" s="1" t="s">
        <v>39</v>
      </c>
      <c r="J5" s="1" t="s">
        <v>68</v>
      </c>
      <c r="K5" s="2">
        <v>57</v>
      </c>
      <c r="L5" s="5">
        <v>3102455</v>
      </c>
      <c r="M5" s="5">
        <v>1887000</v>
      </c>
      <c r="N5" s="2">
        <v>7</v>
      </c>
    </row>
    <row r="6" spans="1:14" x14ac:dyDescent="0.25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37</v>
      </c>
      <c r="G6" s="1" t="s">
        <v>45</v>
      </c>
      <c r="H6" s="2">
        <f t="shared" si="0"/>
        <v>29880</v>
      </c>
      <c r="I6" s="1" t="s">
        <v>39</v>
      </c>
      <c r="J6" s="1" t="s">
        <v>69</v>
      </c>
      <c r="K6" s="2">
        <v>49</v>
      </c>
      <c r="L6" s="5">
        <v>2894770</v>
      </c>
      <c r="M6" s="5">
        <v>1743000</v>
      </c>
      <c r="N6" s="2">
        <v>6</v>
      </c>
    </row>
    <row r="7" spans="1:14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24</v>
      </c>
      <c r="F7" s="1" t="s">
        <v>50</v>
      </c>
      <c r="G7" s="1" t="s">
        <v>51</v>
      </c>
      <c r="H7" s="2">
        <f t="shared" si="0"/>
        <v>34120</v>
      </c>
      <c r="I7" s="1" t="s">
        <v>19</v>
      </c>
      <c r="J7" s="1" t="s">
        <v>70</v>
      </c>
      <c r="K7" s="2">
        <v>63</v>
      </c>
      <c r="L7" s="5">
        <v>3245890</v>
      </c>
      <c r="M7" s="5">
        <v>2018000</v>
      </c>
      <c r="N7" s="2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917C-13EE-4E04-B661-3BD087A79402}">
  <dimension ref="A1:D14"/>
  <sheetViews>
    <sheetView topLeftCell="A6" workbookViewId="0">
      <selection activeCell="A15" sqref="A15"/>
    </sheetView>
  </sheetViews>
  <sheetFormatPr defaultColWidth="46.42578125" defaultRowHeight="15" x14ac:dyDescent="0.25"/>
  <cols>
    <col min="3" max="3" width="55.140625" customWidth="1"/>
    <col min="4" max="4" width="30.85546875" customWidth="1"/>
  </cols>
  <sheetData>
    <row r="1" spans="1:4" x14ac:dyDescent="0.25">
      <c r="A1" t="s">
        <v>52</v>
      </c>
      <c r="B1" t="s">
        <v>54</v>
      </c>
      <c r="C1" t="s">
        <v>53</v>
      </c>
      <c r="D1" t="s">
        <v>55</v>
      </c>
    </row>
    <row r="2" spans="1:4" ht="30" x14ac:dyDescent="0.25">
      <c r="A2" t="s">
        <v>0</v>
      </c>
      <c r="B2" t="s">
        <v>56</v>
      </c>
      <c r="C2" s="4" t="s">
        <v>57</v>
      </c>
    </row>
    <row r="3" spans="1:4" ht="30" x14ac:dyDescent="0.25">
      <c r="A3" t="s">
        <v>1</v>
      </c>
      <c r="B3" t="s">
        <v>58</v>
      </c>
      <c r="C3" s="4" t="s">
        <v>57</v>
      </c>
    </row>
    <row r="4" spans="1:4" ht="30" x14ac:dyDescent="0.25">
      <c r="A4" t="s">
        <v>2</v>
      </c>
      <c r="B4" t="s">
        <v>58</v>
      </c>
      <c r="C4" s="4" t="s">
        <v>57</v>
      </c>
    </row>
    <row r="5" spans="1:4" ht="30" x14ac:dyDescent="0.25">
      <c r="A5" t="s">
        <v>3</v>
      </c>
      <c r="B5" t="s">
        <v>58</v>
      </c>
      <c r="C5" s="4" t="s">
        <v>57</v>
      </c>
    </row>
    <row r="6" spans="1:4" ht="30" x14ac:dyDescent="0.25">
      <c r="A6" t="s">
        <v>4</v>
      </c>
      <c r="B6" t="s">
        <v>58</v>
      </c>
      <c r="C6" s="4" t="s">
        <v>57</v>
      </c>
    </row>
    <row r="7" spans="1:4" ht="30" x14ac:dyDescent="0.25">
      <c r="A7" t="s">
        <v>5</v>
      </c>
      <c r="B7" t="s">
        <v>58</v>
      </c>
      <c r="C7" s="4" t="s">
        <v>57</v>
      </c>
    </row>
    <row r="8" spans="1:4" ht="60" x14ac:dyDescent="0.25">
      <c r="A8" t="s">
        <v>6</v>
      </c>
      <c r="B8" s="4" t="s">
        <v>61</v>
      </c>
      <c r="C8" s="4" t="s">
        <v>62</v>
      </c>
      <c r="D8" s="4" t="s">
        <v>60</v>
      </c>
    </row>
    <row r="9" spans="1:4" ht="30" x14ac:dyDescent="0.25">
      <c r="A9" t="s">
        <v>7</v>
      </c>
      <c r="B9" t="s">
        <v>56</v>
      </c>
      <c r="C9" s="4" t="s">
        <v>63</v>
      </c>
    </row>
    <row r="10" spans="1:4" ht="30" x14ac:dyDescent="0.25">
      <c r="A10" t="s">
        <v>8</v>
      </c>
      <c r="B10" t="s">
        <v>71</v>
      </c>
      <c r="C10" s="4" t="s">
        <v>57</v>
      </c>
    </row>
    <row r="11" spans="1:4" x14ac:dyDescent="0.25">
      <c r="A11" t="s">
        <v>9</v>
      </c>
      <c r="B11" t="s">
        <v>64</v>
      </c>
      <c r="C11" s="4" t="s">
        <v>72</v>
      </c>
    </row>
    <row r="12" spans="1:4" x14ac:dyDescent="0.25">
      <c r="A12" t="s">
        <v>10</v>
      </c>
      <c r="B12" t="s">
        <v>64</v>
      </c>
      <c r="C12" s="4" t="s">
        <v>72</v>
      </c>
    </row>
    <row r="13" spans="1:4" x14ac:dyDescent="0.25">
      <c r="A13" t="s">
        <v>11</v>
      </c>
      <c r="B13" t="s">
        <v>64</v>
      </c>
      <c r="C13" s="4" t="s">
        <v>72</v>
      </c>
    </row>
    <row r="14" spans="1:4" x14ac:dyDescent="0.25">
      <c r="A14" t="s">
        <v>12</v>
      </c>
      <c r="B14" t="s">
        <v>64</v>
      </c>
      <c r="C14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branches</vt:lpstr>
      <vt:lpstr>cleaned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 Mmadubueze</cp:lastModifiedBy>
  <dcterms:created xsi:type="dcterms:W3CDTF">2026-09-05T13:28:53Z</dcterms:created>
  <dcterms:modified xsi:type="dcterms:W3CDTF">2026-09-20T17:17:51Z</dcterms:modified>
</cp:coreProperties>
</file>